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elopment\heatpumpcontroller\heatpump-listener-quatt\"/>
    </mc:Choice>
  </mc:AlternateContent>
  <xr:revisionPtr revIDLastSave="0" documentId="13_ncr:1_{3E2F9023-EF21-48D1-B610-0622F6BF6A08}" xr6:coauthVersionLast="47" xr6:coauthVersionMax="47" xr10:uidLastSave="{00000000-0000-0000-0000-000000000000}"/>
  <bookViews>
    <workbookView xWindow="-120" yWindow="-120" windowWidth="29040" windowHeight="15720" xr2:uid="{ABECCABF-2B57-4433-85B2-4F1DE38595D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4" i="1"/>
  <c r="H3" i="1"/>
  <c r="H2" i="1"/>
  <c r="E2" i="1"/>
  <c r="E3" i="1"/>
  <c r="E4" i="1"/>
  <c r="E5" i="1"/>
  <c r="E6" i="1"/>
  <c r="E7" i="1"/>
  <c r="E8" i="1"/>
  <c r="E9" i="1"/>
  <c r="E10" i="1"/>
  <c r="E11" i="1"/>
  <c r="E12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13" i="1"/>
</calcChain>
</file>

<file path=xl/sharedStrings.xml><?xml version="1.0" encoding="utf-8"?>
<sst xmlns="http://schemas.openxmlformats.org/spreadsheetml/2006/main" count="30" uniqueCount="27">
  <si>
    <t>register</t>
  </si>
  <si>
    <t>value</t>
  </si>
  <si>
    <t>AC Voltage</t>
  </si>
  <si>
    <t>Evaporating temperature</t>
  </si>
  <si>
    <t>Condensing temperature</t>
  </si>
  <si>
    <t>Discharge temperature</t>
  </si>
  <si>
    <t>Scution temperatur</t>
  </si>
  <si>
    <t>Evaporator coil</t>
  </si>
  <si>
    <t>Outside temperature</t>
  </si>
  <si>
    <t>Fan speed maximum</t>
  </si>
  <si>
    <t>Fan speed actual</t>
  </si>
  <si>
    <t>AC Current</t>
  </si>
  <si>
    <t>Compressor working speed demand</t>
  </si>
  <si>
    <t>Compressor working speed actual</t>
  </si>
  <si>
    <t>Water in temperature</t>
  </si>
  <si>
    <t>Water out temperature</t>
  </si>
  <si>
    <t>Condensor coil temperature</t>
  </si>
  <si>
    <t>Pump power</t>
  </si>
  <si>
    <t>Pump flow</t>
  </si>
  <si>
    <t>Working mode actual</t>
  </si>
  <si>
    <t>Electric Expansion Valve</t>
  </si>
  <si>
    <t>Evaporator pressure</t>
  </si>
  <si>
    <t>Condensor pressure</t>
  </si>
  <si>
    <t>Firmware version</t>
  </si>
  <si>
    <t>EEPROM version</t>
  </si>
  <si>
    <t>Status bits</t>
  </si>
  <si>
    <t>Defrost mode (binary)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</si>
</sst>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1A3DC-2F03-402E-AA72-39FB0A36C9FB}">
  <dimension ref="A1:H41"/>
  <sheetViews>
    <sheetView tabSelected="1" workbookViewId="0">
      <selection activeCell="A2" sqref="A2:XFD2"/>
    </sheetView>
  </sheetViews>
  <sheetFormatPr defaultRowHeight="15" x14ac:dyDescent="0.25"/>
  <cols>
    <col min="3" max="3" width="33.28515625" bestFit="1" customWidth="1"/>
  </cols>
  <sheetData>
    <row r="1" spans="1:8" x14ac:dyDescent="0.25">
      <c r="A1" t="s">
        <v>0</v>
      </c>
      <c r="B1" t="s">
        <v>1</v>
      </c>
    </row>
    <row r="2" spans="1:8" x14ac:dyDescent="0.25">
      <c r="A2">
        <v>42100</v>
      </c>
      <c r="B2">
        <v>2</v>
      </c>
      <c r="C2" t="s">
        <v>19</v>
      </c>
      <c r="E2">
        <f t="shared" ref="E2:E12" si="0">A2-40001</f>
        <v>2099</v>
      </c>
      <c r="G2">
        <v>1999</v>
      </c>
      <c r="H2">
        <f>G2+40001</f>
        <v>42000</v>
      </c>
    </row>
    <row r="3" spans="1:8" x14ac:dyDescent="0.25">
      <c r="A3">
        <v>42101</v>
      </c>
      <c r="B3">
        <v>218</v>
      </c>
      <c r="C3" t="s">
        <v>2</v>
      </c>
      <c r="E3" s="3">
        <f t="shared" si="0"/>
        <v>2100</v>
      </c>
      <c r="G3">
        <v>3999</v>
      </c>
      <c r="H3">
        <f>G3+40001</f>
        <v>44000</v>
      </c>
    </row>
    <row r="4" spans="1:8" x14ac:dyDescent="0.25">
      <c r="A4">
        <v>42102</v>
      </c>
      <c r="B4">
        <v>60</v>
      </c>
      <c r="C4" t="s">
        <v>11</v>
      </c>
      <c r="E4" s="3">
        <f t="shared" si="0"/>
        <v>2101</v>
      </c>
      <c r="G4">
        <v>2010</v>
      </c>
      <c r="H4">
        <f>G4+40001</f>
        <v>42011</v>
      </c>
    </row>
    <row r="5" spans="1:8" x14ac:dyDescent="0.25">
      <c r="A5">
        <v>42103</v>
      </c>
      <c r="B5">
        <v>90</v>
      </c>
      <c r="C5" t="s">
        <v>12</v>
      </c>
      <c r="E5" s="3">
        <f t="shared" si="0"/>
        <v>2102</v>
      </c>
      <c r="G5">
        <v>2015</v>
      </c>
      <c r="H5">
        <f>G5+40001</f>
        <v>42016</v>
      </c>
    </row>
    <row r="6" spans="1:8" x14ac:dyDescent="0.25">
      <c r="A6">
        <v>42104</v>
      </c>
      <c r="B6">
        <v>88</v>
      </c>
      <c r="C6" t="s">
        <v>13</v>
      </c>
      <c r="E6" s="3">
        <f t="shared" si="0"/>
        <v>2103</v>
      </c>
    </row>
    <row r="7" spans="1:8" x14ac:dyDescent="0.25">
      <c r="A7">
        <v>42105</v>
      </c>
      <c r="B7">
        <v>700</v>
      </c>
      <c r="C7" t="s">
        <v>9</v>
      </c>
      <c r="E7" s="3">
        <f t="shared" si="0"/>
        <v>2104</v>
      </c>
    </row>
    <row r="8" spans="1:8" x14ac:dyDescent="0.25">
      <c r="A8">
        <v>42106</v>
      </c>
      <c r="B8">
        <v>722</v>
      </c>
      <c r="C8" t="s">
        <v>10</v>
      </c>
      <c r="E8" s="3">
        <f t="shared" si="0"/>
        <v>2105</v>
      </c>
    </row>
    <row r="9" spans="1:8" x14ac:dyDescent="0.25">
      <c r="A9">
        <v>42107</v>
      </c>
      <c r="B9">
        <v>0</v>
      </c>
      <c r="E9">
        <f t="shared" si="0"/>
        <v>2106</v>
      </c>
    </row>
    <row r="10" spans="1:8" x14ac:dyDescent="0.25">
      <c r="A10">
        <v>42108</v>
      </c>
      <c r="B10">
        <v>354</v>
      </c>
      <c r="C10" t="s">
        <v>20</v>
      </c>
      <c r="E10" s="3">
        <f t="shared" si="0"/>
        <v>2107</v>
      </c>
    </row>
    <row r="11" spans="1:8" x14ac:dyDescent="0.25">
      <c r="A11">
        <v>42109</v>
      </c>
      <c r="B11">
        <v>2084</v>
      </c>
      <c r="C11" s="2" t="s">
        <v>25</v>
      </c>
      <c r="E11" s="3">
        <f t="shared" si="0"/>
        <v>2108</v>
      </c>
    </row>
    <row r="12" spans="1:8" x14ac:dyDescent="0.25">
      <c r="A12">
        <v>42110</v>
      </c>
      <c r="B12">
        <v>500</v>
      </c>
      <c r="C12" s="1"/>
      <c r="E12">
        <f t="shared" si="0"/>
        <v>2109</v>
      </c>
    </row>
    <row r="13" spans="1:8" x14ac:dyDescent="0.25">
      <c r="A13">
        <v>42111</v>
      </c>
      <c r="B13">
        <v>2976</v>
      </c>
      <c r="C13" t="s">
        <v>8</v>
      </c>
      <c r="E13" s="3">
        <f>A13-40001</f>
        <v>2110</v>
      </c>
    </row>
    <row r="14" spans="1:8" x14ac:dyDescent="0.25">
      <c r="A14">
        <v>42112</v>
      </c>
      <c r="B14">
        <v>2447</v>
      </c>
      <c r="C14" t="s">
        <v>7</v>
      </c>
      <c r="E14" s="3">
        <f t="shared" ref="E14:E41" si="1">A14-40001</f>
        <v>2111</v>
      </c>
    </row>
    <row r="15" spans="1:8" x14ac:dyDescent="0.25">
      <c r="A15">
        <v>42113</v>
      </c>
      <c r="B15">
        <v>10188</v>
      </c>
      <c r="C15" t="s">
        <v>5</v>
      </c>
      <c r="E15" s="3">
        <f t="shared" si="1"/>
        <v>2112</v>
      </c>
    </row>
    <row r="16" spans="1:8" x14ac:dyDescent="0.25">
      <c r="A16">
        <v>42114</v>
      </c>
      <c r="B16">
        <v>2546</v>
      </c>
      <c r="C16" t="s">
        <v>6</v>
      </c>
      <c r="E16" s="3">
        <f t="shared" si="1"/>
        <v>2113</v>
      </c>
    </row>
    <row r="17" spans="1:5" x14ac:dyDescent="0.25">
      <c r="A17">
        <v>42115</v>
      </c>
      <c r="B17">
        <v>0</v>
      </c>
      <c r="E17">
        <f t="shared" si="1"/>
        <v>2114</v>
      </c>
    </row>
    <row r="18" spans="1:5" x14ac:dyDescent="0.25">
      <c r="A18">
        <v>42116</v>
      </c>
      <c r="B18">
        <v>14336</v>
      </c>
      <c r="E18">
        <f t="shared" si="1"/>
        <v>2115</v>
      </c>
    </row>
    <row r="19" spans="1:5" x14ac:dyDescent="0.25">
      <c r="A19">
        <v>42117</v>
      </c>
      <c r="B19">
        <v>53</v>
      </c>
      <c r="C19" t="s">
        <v>21</v>
      </c>
      <c r="E19" s="3">
        <f t="shared" si="1"/>
        <v>2116</v>
      </c>
    </row>
    <row r="20" spans="1:5" x14ac:dyDescent="0.25">
      <c r="A20">
        <v>42118</v>
      </c>
      <c r="B20">
        <v>264</v>
      </c>
      <c r="C20" t="s">
        <v>22</v>
      </c>
      <c r="E20" s="3">
        <f t="shared" si="1"/>
        <v>2117</v>
      </c>
    </row>
    <row r="21" spans="1:5" x14ac:dyDescent="0.25">
      <c r="A21">
        <v>42119</v>
      </c>
      <c r="B21">
        <v>0</v>
      </c>
      <c r="C21" s="4" t="s">
        <v>26</v>
      </c>
      <c r="E21" s="3">
        <f t="shared" si="1"/>
        <v>2118</v>
      </c>
    </row>
    <row r="22" spans="1:5" x14ac:dyDescent="0.25">
      <c r="A22">
        <v>42120</v>
      </c>
      <c r="B22">
        <v>0</v>
      </c>
      <c r="C22" s="2" t="s">
        <v>25</v>
      </c>
      <c r="E22" s="3">
        <f t="shared" si="1"/>
        <v>2119</v>
      </c>
    </row>
    <row r="23" spans="1:5" x14ac:dyDescent="0.25">
      <c r="A23">
        <v>42121</v>
      </c>
      <c r="B23">
        <v>0</v>
      </c>
      <c r="C23" s="2" t="s">
        <v>25</v>
      </c>
      <c r="E23" s="3">
        <f t="shared" si="1"/>
        <v>2120</v>
      </c>
    </row>
    <row r="24" spans="1:5" x14ac:dyDescent="0.25">
      <c r="A24">
        <v>42122</v>
      </c>
      <c r="B24">
        <v>0</v>
      </c>
      <c r="C24" s="2" t="s">
        <v>25</v>
      </c>
      <c r="E24" s="3">
        <f t="shared" si="1"/>
        <v>2121</v>
      </c>
    </row>
    <row r="25" spans="1:5" x14ac:dyDescent="0.25">
      <c r="A25">
        <v>42123</v>
      </c>
      <c r="B25">
        <v>281</v>
      </c>
      <c r="C25" t="s">
        <v>23</v>
      </c>
      <c r="E25" s="3">
        <f t="shared" si="1"/>
        <v>2122</v>
      </c>
    </row>
    <row r="26" spans="1:5" x14ac:dyDescent="0.25">
      <c r="A26">
        <v>42124</v>
      </c>
      <c r="B26">
        <v>114</v>
      </c>
      <c r="C26" t="s">
        <v>24</v>
      </c>
      <c r="E26" s="3">
        <f t="shared" si="1"/>
        <v>2123</v>
      </c>
    </row>
    <row r="27" spans="1:5" x14ac:dyDescent="0.25">
      <c r="A27">
        <v>42125</v>
      </c>
      <c r="B27">
        <v>2</v>
      </c>
      <c r="E27">
        <f t="shared" si="1"/>
        <v>2124</v>
      </c>
    </row>
    <row r="28" spans="1:5" x14ac:dyDescent="0.25">
      <c r="A28">
        <v>42126</v>
      </c>
      <c r="B28">
        <v>11896</v>
      </c>
      <c r="E28">
        <f t="shared" si="1"/>
        <v>2125</v>
      </c>
    </row>
    <row r="29" spans="1:5" x14ac:dyDescent="0.25">
      <c r="A29">
        <v>42127</v>
      </c>
      <c r="B29">
        <v>0</v>
      </c>
      <c r="E29">
        <f t="shared" si="1"/>
        <v>2126</v>
      </c>
    </row>
    <row r="30" spans="1:5" x14ac:dyDescent="0.25">
      <c r="A30">
        <v>42128</v>
      </c>
      <c r="B30">
        <v>55</v>
      </c>
      <c r="E30">
        <f t="shared" si="1"/>
        <v>2127</v>
      </c>
    </row>
    <row r="31" spans="1:5" x14ac:dyDescent="0.25">
      <c r="A31">
        <v>42129</v>
      </c>
      <c r="B31">
        <v>3000</v>
      </c>
      <c r="E31">
        <f t="shared" si="1"/>
        <v>2128</v>
      </c>
    </row>
    <row r="32" spans="1:5" x14ac:dyDescent="0.25">
      <c r="A32">
        <v>42130</v>
      </c>
      <c r="B32">
        <v>3000</v>
      </c>
      <c r="C32" s="1"/>
      <c r="E32">
        <f t="shared" si="1"/>
        <v>2129</v>
      </c>
    </row>
    <row r="33" spans="1:5" x14ac:dyDescent="0.25">
      <c r="A33">
        <v>42131</v>
      </c>
      <c r="B33">
        <v>0</v>
      </c>
      <c r="C33" s="1"/>
      <c r="E33">
        <f t="shared" si="1"/>
        <v>2130</v>
      </c>
    </row>
    <row r="34" spans="1:5" x14ac:dyDescent="0.25">
      <c r="A34">
        <v>42132</v>
      </c>
      <c r="B34">
        <v>7495</v>
      </c>
      <c r="C34" t="s">
        <v>4</v>
      </c>
      <c r="E34" s="3">
        <f t="shared" si="1"/>
        <v>2131</v>
      </c>
    </row>
    <row r="35" spans="1:5" x14ac:dyDescent="0.25">
      <c r="A35">
        <v>42133</v>
      </c>
      <c r="B35">
        <v>2262</v>
      </c>
      <c r="C35" t="s">
        <v>3</v>
      </c>
      <c r="E35" s="3">
        <f t="shared" si="1"/>
        <v>2132</v>
      </c>
    </row>
    <row r="36" spans="1:5" x14ac:dyDescent="0.25">
      <c r="A36">
        <v>42134</v>
      </c>
      <c r="B36">
        <v>6698</v>
      </c>
      <c r="C36" t="s">
        <v>14</v>
      </c>
      <c r="E36" s="3">
        <f t="shared" si="1"/>
        <v>2133</v>
      </c>
    </row>
    <row r="37" spans="1:5" x14ac:dyDescent="0.25">
      <c r="A37">
        <v>42135</v>
      </c>
      <c r="B37">
        <v>7101</v>
      </c>
      <c r="C37" t="s">
        <v>15</v>
      </c>
      <c r="E37" s="3">
        <f t="shared" si="1"/>
        <v>2134</v>
      </c>
    </row>
    <row r="38" spans="1:5" x14ac:dyDescent="0.25">
      <c r="A38">
        <v>42136</v>
      </c>
      <c r="B38">
        <v>6625</v>
      </c>
      <c r="C38" t="s">
        <v>16</v>
      </c>
      <c r="E38" s="3">
        <f t="shared" si="1"/>
        <v>2135</v>
      </c>
    </row>
    <row r="39" spans="1:5" x14ac:dyDescent="0.25">
      <c r="A39">
        <v>42137</v>
      </c>
      <c r="B39">
        <v>3000</v>
      </c>
      <c r="C39" s="1"/>
      <c r="E39">
        <f t="shared" si="1"/>
        <v>2136</v>
      </c>
    </row>
    <row r="40" spans="1:5" x14ac:dyDescent="0.25">
      <c r="A40">
        <v>42138</v>
      </c>
      <c r="B40">
        <v>220</v>
      </c>
      <c r="C40" t="s">
        <v>17</v>
      </c>
      <c r="E40" s="3">
        <f t="shared" si="1"/>
        <v>2137</v>
      </c>
    </row>
    <row r="41" spans="1:5" x14ac:dyDescent="0.25">
      <c r="A41">
        <v>42139</v>
      </c>
      <c r="B41">
        <v>0</v>
      </c>
      <c r="C41" t="s">
        <v>18</v>
      </c>
      <c r="E41" s="3">
        <f t="shared" si="1"/>
        <v>2138</v>
      </c>
    </row>
  </sheetData>
  <sortState xmlns:xlrd2="http://schemas.microsoft.com/office/spreadsheetml/2017/richdata2" ref="A2:C41">
    <sortCondition ref="A13:A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Schelvis</dc:creator>
  <cp:lastModifiedBy>Leo Schelvis</cp:lastModifiedBy>
  <dcterms:created xsi:type="dcterms:W3CDTF">2026-01-11T05:28:26Z</dcterms:created>
  <dcterms:modified xsi:type="dcterms:W3CDTF">2026-01-13T19:16:31Z</dcterms:modified>
</cp:coreProperties>
</file>